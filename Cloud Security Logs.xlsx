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8ee4fe9ad6180/Documents/"/>
    </mc:Choice>
  </mc:AlternateContent>
  <xr:revisionPtr revIDLastSave="0" documentId="14_{C3448FDF-8692-4E0B-867A-74DECD86F2A1}" xr6:coauthVersionLast="47" xr6:coauthVersionMax="47" xr10:uidLastSave="{00000000-0000-0000-0000-000000000000}"/>
  <bookViews>
    <workbookView xWindow="-108" yWindow="-108" windowWidth="23256" windowHeight="12456" xr2:uid="{3EB479BA-3C3A-41AA-9CA0-C1184606B6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16" i="1"/>
  <c r="H14" i="1"/>
  <c r="H4" i="1"/>
  <c r="H5" i="1"/>
  <c r="H6" i="1"/>
  <c r="H7" i="1"/>
  <c r="H8" i="1"/>
  <c r="H9" i="1"/>
  <c r="H10" i="1"/>
  <c r="H11" i="1"/>
  <c r="H12" i="1"/>
  <c r="H13" i="1"/>
  <c r="H3" i="1"/>
</calcChain>
</file>

<file path=xl/sharedStrings.xml><?xml version="1.0" encoding="utf-8"?>
<sst xmlns="http://schemas.openxmlformats.org/spreadsheetml/2006/main" count="132" uniqueCount="50">
  <si>
    <t>USER ID</t>
  </si>
  <si>
    <t>LOGIN DATE</t>
  </si>
  <si>
    <t>LOGIN TIME</t>
  </si>
  <si>
    <t>LOCATION</t>
  </si>
  <si>
    <t>IP ADDRESS</t>
  </si>
  <si>
    <t>STATUS</t>
  </si>
  <si>
    <t>DEVICES</t>
  </si>
  <si>
    <t>RISK LEVEL</t>
  </si>
  <si>
    <t>User ID</t>
  </si>
  <si>
    <t>Login Date</t>
  </si>
  <si>
    <t>Login Time</t>
  </si>
  <si>
    <t>Location</t>
  </si>
  <si>
    <t>IP Address</t>
  </si>
  <si>
    <t>Status</t>
  </si>
  <si>
    <t>Device</t>
  </si>
  <si>
    <t>Risk Level</t>
  </si>
  <si>
    <t>A</t>
  </si>
  <si>
    <t>India</t>
  </si>
  <si>
    <t>192.168.1.1</t>
  </si>
  <si>
    <t>Success</t>
  </si>
  <si>
    <t>Mobile</t>
  </si>
  <si>
    <t>Failed</t>
  </si>
  <si>
    <t>B</t>
  </si>
  <si>
    <t>172.16.0.2</t>
  </si>
  <si>
    <t>Laptop</t>
  </si>
  <si>
    <t>USA</t>
  </si>
  <si>
    <t>8.8.8.8</t>
  </si>
  <si>
    <t>C</t>
  </si>
  <si>
    <t>192.168.2.5</t>
  </si>
  <si>
    <t>D</t>
  </si>
  <si>
    <t>Russia</t>
  </si>
  <si>
    <t>45.33.32.1</t>
  </si>
  <si>
    <t>E</t>
  </si>
  <si>
    <t>192.168.3.3</t>
  </si>
  <si>
    <t>F</t>
  </si>
  <si>
    <t>4:00AM</t>
  </si>
  <si>
    <t>south korea</t>
  </si>
  <si>
    <t>168.107.19.170</t>
  </si>
  <si>
    <t>laptop</t>
  </si>
  <si>
    <t>192.168.5.1</t>
  </si>
  <si>
    <t>G</t>
  </si>
  <si>
    <t>8.8.4.4</t>
  </si>
  <si>
    <t>H</t>
  </si>
  <si>
    <t>192.168.6.2</t>
  </si>
  <si>
    <t>I</t>
  </si>
  <si>
    <t>192.168.7.7</t>
  </si>
  <si>
    <t>J</t>
  </si>
  <si>
    <t>45.45.45.45</t>
  </si>
  <si>
    <t>K</t>
  </si>
  <si>
    <t>192.168.8.8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</si>
</sst>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CDDB-6320-41B3-8BBD-DF4730FA2240}">
  <dimension ref="A1:H26"/>
  <sheetViews>
    <sheetView tabSelected="1" topLeftCell="A2" workbookViewId="0">
      <selection activeCell="H16" sqref="H16:H26"/>
    </sheetView>
  </sheetViews>
  <sheetFormatPr defaultRowHeight="14.4" x14ac:dyDescent="0.3"/>
  <cols>
    <col min="2" max="2" width="12.88671875" customWidth="1"/>
    <col min="3" max="3" width="17.6640625" customWidth="1"/>
    <col min="4" max="4" width="18.33203125" customWidth="1"/>
    <col min="5" max="5" width="18.21875" customWidth="1"/>
    <col min="6" max="6" width="17.5546875" customWidth="1"/>
    <col min="7" max="7" width="17.88671875" customWidth="1"/>
    <col min="8" max="8" width="18.109375" customWidth="1"/>
    <col min="9" max="9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2" t="s">
        <v>16</v>
      </c>
      <c r="B3" s="4">
        <v>46105</v>
      </c>
      <c r="C3" s="5">
        <v>0.375</v>
      </c>
      <c r="D3" s="2" t="s">
        <v>17</v>
      </c>
      <c r="E3" s="2" t="s">
        <v>18</v>
      </c>
      <c r="F3" s="2" t="s">
        <v>19</v>
      </c>
      <c r="G3" s="2" t="s">
        <v>20</v>
      </c>
      <c r="H3" t="str">
        <f>IF(COUNTIFS(A:A,A3,F:F,"Failed")&gt;=3,"High",IF(D3="Russia","High",IF(OR(F3="Failed",D3="USA",C3="01:00 AM",C3="02:00 AM",C3="03:00 AM"),"Medium","Low")))</f>
        <v>High</v>
      </c>
    </row>
    <row r="4" spans="1:8" x14ac:dyDescent="0.3">
      <c r="A4" s="2" t="s">
        <v>16</v>
      </c>
      <c r="B4" s="4">
        <v>46105</v>
      </c>
      <c r="C4" s="5">
        <v>0.37638888888888888</v>
      </c>
      <c r="D4" s="2" t="s">
        <v>17</v>
      </c>
      <c r="E4" s="2" t="s">
        <v>18</v>
      </c>
      <c r="F4" s="2" t="s">
        <v>21</v>
      </c>
      <c r="G4" s="2" t="s">
        <v>20</v>
      </c>
      <c r="H4" t="str">
        <f t="shared" ref="H4:H13" si="0">IF(COUNTIFS(A:A,A4,F:F,"Failed")&gt;=3,"High",IF(D4="Russia","High",IF(OR(F4="Failed",D4="USA",C4="01:00 AM",C4="02:00 AM",C4="03:00 AM"),"Medium","Low")))</f>
        <v>High</v>
      </c>
    </row>
    <row r="5" spans="1:8" x14ac:dyDescent="0.3">
      <c r="A5" s="2" t="s">
        <v>16</v>
      </c>
      <c r="B5" s="4">
        <v>46105</v>
      </c>
      <c r="C5" s="5">
        <v>0.37708333333333333</v>
      </c>
      <c r="D5" s="2" t="s">
        <v>17</v>
      </c>
      <c r="E5" s="2" t="s">
        <v>18</v>
      </c>
      <c r="F5" s="2" t="s">
        <v>21</v>
      </c>
      <c r="G5" s="2" t="s">
        <v>20</v>
      </c>
      <c r="H5" t="str">
        <f t="shared" si="0"/>
        <v>High</v>
      </c>
    </row>
    <row r="6" spans="1:8" x14ac:dyDescent="0.3">
      <c r="A6" s="2" t="s">
        <v>16</v>
      </c>
      <c r="B6" s="4">
        <v>46105</v>
      </c>
      <c r="C6" s="5">
        <v>0.37777777777777777</v>
      </c>
      <c r="D6" s="2" t="s">
        <v>17</v>
      </c>
      <c r="E6" s="2" t="s">
        <v>18</v>
      </c>
      <c r="F6" s="2" t="s">
        <v>21</v>
      </c>
      <c r="G6" s="2" t="s">
        <v>20</v>
      </c>
      <c r="H6" t="str">
        <f t="shared" si="0"/>
        <v>High</v>
      </c>
    </row>
    <row r="7" spans="1:8" x14ac:dyDescent="0.3">
      <c r="A7" s="2" t="s">
        <v>22</v>
      </c>
      <c r="B7" s="4">
        <v>46105</v>
      </c>
      <c r="C7" s="5">
        <v>0.41666666666666669</v>
      </c>
      <c r="D7" s="2" t="s">
        <v>17</v>
      </c>
      <c r="E7" s="2" t="s">
        <v>23</v>
      </c>
      <c r="F7" s="2" t="s">
        <v>19</v>
      </c>
      <c r="G7" s="2" t="s">
        <v>24</v>
      </c>
      <c r="H7" t="str">
        <f t="shared" si="0"/>
        <v>Low</v>
      </c>
    </row>
    <row r="8" spans="1:8" x14ac:dyDescent="0.3">
      <c r="A8" s="2" t="s">
        <v>22</v>
      </c>
      <c r="B8" s="4">
        <v>46105</v>
      </c>
      <c r="C8" s="5">
        <v>0.58333333333333337</v>
      </c>
      <c r="D8" s="2" t="s">
        <v>25</v>
      </c>
      <c r="E8" s="2" t="s">
        <v>26</v>
      </c>
      <c r="F8" s="2" t="s">
        <v>19</v>
      </c>
      <c r="G8" s="2" t="s">
        <v>24</v>
      </c>
      <c r="H8" t="str">
        <f t="shared" si="0"/>
        <v>Medium</v>
      </c>
    </row>
    <row r="9" spans="1:8" x14ac:dyDescent="0.3">
      <c r="A9" s="2" t="s">
        <v>27</v>
      </c>
      <c r="B9" s="4">
        <v>46105</v>
      </c>
      <c r="C9" s="5">
        <v>0.97916666666666663</v>
      </c>
      <c r="D9" s="2" t="s">
        <v>17</v>
      </c>
      <c r="E9" s="2" t="s">
        <v>28</v>
      </c>
      <c r="F9" s="2" t="s">
        <v>19</v>
      </c>
      <c r="G9" s="2" t="s">
        <v>20</v>
      </c>
      <c r="H9" t="str">
        <f t="shared" si="0"/>
        <v>Low</v>
      </c>
    </row>
    <row r="10" spans="1:8" x14ac:dyDescent="0.3">
      <c r="A10" s="2" t="s">
        <v>29</v>
      </c>
      <c r="B10" s="4">
        <v>46105</v>
      </c>
      <c r="C10" s="5">
        <v>4.1666666666666664E-2</v>
      </c>
      <c r="D10" s="2" t="s">
        <v>30</v>
      </c>
      <c r="E10" s="2" t="s">
        <v>31</v>
      </c>
      <c r="F10" s="2" t="s">
        <v>19</v>
      </c>
      <c r="G10" s="2" t="s">
        <v>24</v>
      </c>
      <c r="H10" t="str">
        <f t="shared" si="0"/>
        <v>High</v>
      </c>
    </row>
    <row r="11" spans="1:8" x14ac:dyDescent="0.3">
      <c r="A11" s="2" t="s">
        <v>32</v>
      </c>
      <c r="B11" s="4">
        <v>46105</v>
      </c>
      <c r="C11" s="5">
        <v>0.125</v>
      </c>
      <c r="D11" s="2" t="s">
        <v>17</v>
      </c>
      <c r="E11" s="2" t="s">
        <v>33</v>
      </c>
      <c r="F11" s="2" t="s">
        <v>21</v>
      </c>
      <c r="G11" s="2" t="s">
        <v>20</v>
      </c>
      <c r="H11" t="str">
        <f t="shared" si="0"/>
        <v>High</v>
      </c>
    </row>
    <row r="12" spans="1:8" x14ac:dyDescent="0.3">
      <c r="A12" s="2" t="s">
        <v>32</v>
      </c>
      <c r="B12" s="4">
        <v>46105</v>
      </c>
      <c r="C12" s="5">
        <v>0.12638888888888888</v>
      </c>
      <c r="D12" s="2" t="s">
        <v>17</v>
      </c>
      <c r="E12" s="2" t="s">
        <v>33</v>
      </c>
      <c r="F12" s="2" t="s">
        <v>21</v>
      </c>
      <c r="G12" s="2" t="s">
        <v>20</v>
      </c>
      <c r="H12" t="str">
        <f t="shared" si="0"/>
        <v>High</v>
      </c>
    </row>
    <row r="13" spans="1:8" x14ac:dyDescent="0.3">
      <c r="A13" s="2" t="s">
        <v>32</v>
      </c>
      <c r="B13" s="4">
        <v>46105</v>
      </c>
      <c r="C13" s="5">
        <v>0.12708333333333333</v>
      </c>
      <c r="D13" s="2" t="s">
        <v>17</v>
      </c>
      <c r="E13" s="2" t="s">
        <v>33</v>
      </c>
      <c r="F13" s="2" t="s">
        <v>21</v>
      </c>
      <c r="G13" s="2" t="s">
        <v>20</v>
      </c>
      <c r="H13" t="str">
        <f t="shared" si="0"/>
        <v>High</v>
      </c>
    </row>
    <row r="14" spans="1:8" x14ac:dyDescent="0.3">
      <c r="A14" s="2" t="s">
        <v>34</v>
      </c>
      <c r="B14" s="3">
        <v>46105</v>
      </c>
      <c r="C14" t="s">
        <v>35</v>
      </c>
      <c r="D14" s="2" t="s">
        <v>36</v>
      </c>
      <c r="E14" s="2" t="s">
        <v>37</v>
      </c>
      <c r="F14" s="2" t="s">
        <v>19</v>
      </c>
      <c r="G14" s="2" t="s">
        <v>38</v>
      </c>
      <c r="H14" t="str">
        <f>IF(COUNTIFS(A:A,A3,F:F,"Failed")&gt;=3,"High",IF(D3="Russia","High",IF(OR(F3="Failed",D3="USA",C3="01:00 AM",C3="02:00 AM",C3="03:00 AM"),"Medium","Low")))</f>
        <v>High</v>
      </c>
    </row>
    <row r="16" spans="1:8" x14ac:dyDescent="0.3">
      <c r="A16" s="2" t="s">
        <v>34</v>
      </c>
      <c r="B16" s="4">
        <v>46105</v>
      </c>
      <c r="C16" s="5">
        <v>0.35416666666666669</v>
      </c>
      <c r="D16" s="2" t="s">
        <v>17</v>
      </c>
      <c r="E16" s="2" t="s">
        <v>39</v>
      </c>
      <c r="F16" s="2" t="s">
        <v>19</v>
      </c>
      <c r="G16" s="2" t="s">
        <v>20</v>
      </c>
      <c r="H16" t="str">
        <f>IF(COUNTIFS(A:A,A3,F:F,"Failed")&gt;=3,"High",IF(D3="Russia","High",IF(OR(F3="Failed",D3="USA",C3="01:00 AM",C3="02:00 AM",C3="03:00 AM"),"Medium","Low")))</f>
        <v>High</v>
      </c>
    </row>
    <row r="17" spans="1:8" x14ac:dyDescent="0.3">
      <c r="A17" s="2" t="s">
        <v>34</v>
      </c>
      <c r="B17" s="4">
        <v>46105</v>
      </c>
      <c r="C17" s="5">
        <v>0.35555555555555557</v>
      </c>
      <c r="D17" s="2" t="s">
        <v>17</v>
      </c>
      <c r="E17" s="2" t="s">
        <v>39</v>
      </c>
      <c r="F17" s="2" t="s">
        <v>21</v>
      </c>
      <c r="G17" s="2" t="s">
        <v>20</v>
      </c>
      <c r="H17" t="str">
        <f t="shared" ref="H17:H26" si="1">IF(COUNTIFS(A:A,A4,F:F,"Failed")&gt;=3,"High",IF(D4="Russia","High",IF(OR(F4="Failed",D4="USA",C4="01:00 AM",C4="02:00 AM",C4="03:00 AM"),"Medium","Low")))</f>
        <v>High</v>
      </c>
    </row>
    <row r="18" spans="1:8" x14ac:dyDescent="0.3">
      <c r="A18" s="2" t="s">
        <v>34</v>
      </c>
      <c r="B18" s="4">
        <v>46105</v>
      </c>
      <c r="C18" s="5">
        <v>0.35625000000000001</v>
      </c>
      <c r="D18" s="2" t="s">
        <v>17</v>
      </c>
      <c r="E18" s="2" t="s">
        <v>39</v>
      </c>
      <c r="F18" s="2" t="s">
        <v>21</v>
      </c>
      <c r="G18" s="2" t="s">
        <v>20</v>
      </c>
      <c r="H18" t="str">
        <f t="shared" si="1"/>
        <v>High</v>
      </c>
    </row>
    <row r="19" spans="1:8" x14ac:dyDescent="0.3">
      <c r="A19" s="2" t="s">
        <v>34</v>
      </c>
      <c r="B19" s="4">
        <v>46105</v>
      </c>
      <c r="C19" s="5">
        <v>0.35694444444444445</v>
      </c>
      <c r="D19" s="2" t="s">
        <v>17</v>
      </c>
      <c r="E19" s="2" t="s">
        <v>39</v>
      </c>
      <c r="F19" s="2" t="s">
        <v>21</v>
      </c>
      <c r="G19" s="2" t="s">
        <v>20</v>
      </c>
      <c r="H19" t="str">
        <f t="shared" si="1"/>
        <v>High</v>
      </c>
    </row>
    <row r="20" spans="1:8" x14ac:dyDescent="0.3">
      <c r="A20" s="2" t="s">
        <v>40</v>
      </c>
      <c r="B20" s="4">
        <v>46105</v>
      </c>
      <c r="C20" s="5">
        <v>0.45833333333333331</v>
      </c>
      <c r="D20" s="2" t="s">
        <v>25</v>
      </c>
      <c r="E20" s="2" t="s">
        <v>41</v>
      </c>
      <c r="F20" s="2" t="s">
        <v>19</v>
      </c>
      <c r="G20" s="2" t="s">
        <v>24</v>
      </c>
      <c r="H20" t="str">
        <f t="shared" si="1"/>
        <v>Low</v>
      </c>
    </row>
    <row r="21" spans="1:8" x14ac:dyDescent="0.3">
      <c r="A21" s="2" t="s">
        <v>42</v>
      </c>
      <c r="B21" s="4">
        <v>46105</v>
      </c>
      <c r="C21" s="5">
        <v>0.10416666666666667</v>
      </c>
      <c r="D21" s="2" t="s">
        <v>17</v>
      </c>
      <c r="E21" s="2" t="s">
        <v>43</v>
      </c>
      <c r="F21" s="2" t="s">
        <v>19</v>
      </c>
      <c r="G21" s="2" t="s">
        <v>20</v>
      </c>
      <c r="H21" t="str">
        <f t="shared" si="1"/>
        <v>Medium</v>
      </c>
    </row>
    <row r="22" spans="1:8" x14ac:dyDescent="0.3">
      <c r="A22" s="2" t="s">
        <v>44</v>
      </c>
      <c r="B22" s="4">
        <v>46105</v>
      </c>
      <c r="C22" s="5">
        <v>0.54166666666666663</v>
      </c>
      <c r="D22" s="2" t="s">
        <v>17</v>
      </c>
      <c r="E22" s="2" t="s">
        <v>45</v>
      </c>
      <c r="F22" s="2" t="s">
        <v>19</v>
      </c>
      <c r="G22" s="2" t="s">
        <v>24</v>
      </c>
      <c r="H22" t="str">
        <f t="shared" si="1"/>
        <v>Low</v>
      </c>
    </row>
    <row r="23" spans="1:8" x14ac:dyDescent="0.3">
      <c r="A23" s="2" t="s">
        <v>46</v>
      </c>
      <c r="B23" s="4">
        <v>46105</v>
      </c>
      <c r="C23" s="5">
        <v>2.0833333333333332E-2</v>
      </c>
      <c r="D23" s="2" t="s">
        <v>30</v>
      </c>
      <c r="E23" s="2" t="s">
        <v>47</v>
      </c>
      <c r="F23" s="2" t="s">
        <v>19</v>
      </c>
      <c r="G23" s="2" t="s">
        <v>24</v>
      </c>
      <c r="H23" t="str">
        <f t="shared" si="1"/>
        <v>High</v>
      </c>
    </row>
    <row r="24" spans="1:8" x14ac:dyDescent="0.3">
      <c r="A24" s="2" t="s">
        <v>48</v>
      </c>
      <c r="B24" s="4">
        <v>46105</v>
      </c>
      <c r="C24" s="5">
        <v>0.125</v>
      </c>
      <c r="D24" s="2" t="s">
        <v>17</v>
      </c>
      <c r="E24" s="2" t="s">
        <v>49</v>
      </c>
      <c r="F24" s="2" t="s">
        <v>21</v>
      </c>
      <c r="G24" s="2" t="s">
        <v>20</v>
      </c>
      <c r="H24" t="str">
        <f t="shared" si="1"/>
        <v>High</v>
      </c>
    </row>
    <row r="25" spans="1:8" x14ac:dyDescent="0.3">
      <c r="A25" s="2" t="s">
        <v>48</v>
      </c>
      <c r="B25" s="4">
        <v>46105</v>
      </c>
      <c r="C25" s="5">
        <v>0.12638888888888888</v>
      </c>
      <c r="D25" s="2" t="s">
        <v>17</v>
      </c>
      <c r="E25" s="2" t="s">
        <v>49</v>
      </c>
      <c r="F25" s="2" t="s">
        <v>21</v>
      </c>
      <c r="G25" s="2" t="s">
        <v>20</v>
      </c>
      <c r="H25" t="str">
        <f t="shared" si="1"/>
        <v>High</v>
      </c>
    </row>
    <row r="26" spans="1:8" x14ac:dyDescent="0.3">
      <c r="A26" s="2" t="s">
        <v>48</v>
      </c>
      <c r="B26" s="4">
        <v>46105</v>
      </c>
      <c r="C26" s="5">
        <v>0.12708333333333333</v>
      </c>
      <c r="D26" s="2" t="s">
        <v>17</v>
      </c>
      <c r="E26" s="2" t="s">
        <v>49</v>
      </c>
      <c r="F26" s="2" t="s">
        <v>21</v>
      </c>
      <c r="G26" s="2" t="s">
        <v>20</v>
      </c>
      <c r="H26" t="str">
        <f t="shared" si="1"/>
        <v>High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SINDUJA B</dc:creator>
  <cp:lastModifiedBy>SINDUJA B</cp:lastModifiedBy>
  <dcterms:created xsi:type="dcterms:W3CDTF">2026-03-24T13:43:07Z</dcterms:created>
  <dcterms:modified xsi:type="dcterms:W3CDTF">2026-03-26T14:32:37Z</dcterms:modified>
</cp:coreProperties>
</file>